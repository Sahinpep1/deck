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TS-Main\backend\data\"/>
    </mc:Choice>
  </mc:AlternateContent>
  <xr:revisionPtr revIDLastSave="0" documentId="13_ncr:1_{9EB62D8E-A248-4134-8959-83FB06DC5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</calcChain>
</file>

<file path=xl/sharedStrings.xml><?xml version="1.0" encoding="utf-8"?>
<sst xmlns="http://schemas.openxmlformats.org/spreadsheetml/2006/main" count="35" uniqueCount="35">
  <si>
    <t>31 AKC 629</t>
  </si>
  <si>
    <t>31 AKJ 657</t>
  </si>
  <si>
    <t>31ARZ922</t>
  </si>
  <si>
    <t>31ASA056</t>
  </si>
  <si>
    <t>31ARZ573</t>
  </si>
  <si>
    <t>31ARZ264</t>
  </si>
  <si>
    <t>31ARZ957</t>
  </si>
  <si>
    <t>31ARZ280</t>
  </si>
  <si>
    <t>31ARZ663</t>
  </si>
  <si>
    <t>31ARZ916</t>
  </si>
  <si>
    <t>31ARZ654</t>
  </si>
  <si>
    <t>31ARZ645</t>
  </si>
  <si>
    <t>31HM057</t>
  </si>
  <si>
    <t>31ASE581</t>
  </si>
  <si>
    <t>Plaka</t>
  </si>
  <si>
    <t>Driver</t>
  </si>
  <si>
    <t>Capacity</t>
  </si>
  <si>
    <t>id</t>
  </si>
  <si>
    <t>Miktar</t>
  </si>
  <si>
    <t>Palet</t>
  </si>
  <si>
    <t>assigned_deliveries</t>
  </si>
  <si>
    <t>status</t>
  </si>
  <si>
    <t>Default_Sales_Rep</t>
  </si>
  <si>
    <t>Assigned_Route</t>
  </si>
  <si>
    <t>ABDULGANİ GÜLER</t>
  </si>
  <si>
    <t>SERKAN BOYAR</t>
  </si>
  <si>
    <t>AVNİ DOĞRU</t>
  </si>
  <si>
    <t>METİN ANASIZ</t>
  </si>
  <si>
    <t>GÖRKEM DOKSÖZ</t>
  </si>
  <si>
    <t>ONUR CAN DİKBAŞ</t>
  </si>
  <si>
    <t>ASLI OFLAZ</t>
  </si>
  <si>
    <t>SERAY AKSOY</t>
  </si>
  <si>
    <t>SELİMCAN TUNER</t>
  </si>
  <si>
    <t>MUSTAFA DELİLOĞLU</t>
  </si>
  <si>
    <t>OĞUZHAN DURMAZ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</si>
</sst>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AA198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0;AH&#304;N/Arvento_Rapor_yol/indirilen_raporlar/kontak_acildi_ozet.xlsx" TargetMode="External"/><Relationship Id="rId2" Type="http://schemas.openxmlformats.org/officeDocument/2006/relationships/externalLinkPath" Target="file:///C:\Users\user\Desktop\&#350;AH&#304;N\Arvento_Rapor_yol\indirilen_raporlar\kontak_acildi_ozet.xlsx" TargetMode="External"/><Relationship Id="rId1" Type="http://schemas.openxmlformats.org/officeDocument/2006/relationships/externalLinkPath" Target="/Users/user/Desktop/&#350;AH&#304;N/Arvento_Rapor_yol/indirilen_raporlar/kontak_acildi_oz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ontak Açıldı Özeti"/>
      <sheetName val="Sayfa3"/>
      <sheetName val="Sayfa2"/>
      <sheetName val="Sayfa1"/>
      <sheetName val="Personel"/>
    </sheetNames>
    <sheetDataSet>
      <sheetData sheetId="0">
        <row r="1">
          <cell r="A1" t="str">
            <v>Plaka</v>
          </cell>
          <cell r="B1" t="str">
            <v>Sürücü</v>
          </cell>
          <cell r="C1" t="str">
            <v>İlk Açılış</v>
          </cell>
          <cell r="D1" t="str">
            <v>Son Kapanış</v>
          </cell>
          <cell r="E1" t="str">
            <v>Tarih</v>
          </cell>
          <cell r="F1" t="str">
            <v>Maksimum Hız (km/h)</v>
          </cell>
          <cell r="G1" t="str">
            <v>Dün Mesafe (km)</v>
          </cell>
          <cell r="H1" t="str">
            <v>Geçen Hafta Mesafe (km)</v>
          </cell>
          <cell r="I1" t="str">
            <v>Mesafe Farkı (km)</v>
          </cell>
          <cell r="J1" t="str">
            <v xml:space="preserve">Rölanti Süresi </v>
          </cell>
        </row>
        <row r="2">
          <cell r="A2" t="str">
            <v>06EBG144</v>
          </cell>
          <cell r="B2" t="str">
            <v>SELİMCAN TUNER</v>
          </cell>
          <cell r="C2" t="str">
            <v>07:56:10</v>
          </cell>
          <cell r="D2" t="str">
            <v>23:24:59</v>
          </cell>
          <cell r="E2">
            <v>46156</v>
          </cell>
          <cell r="F2">
            <v>94</v>
          </cell>
          <cell r="G2">
            <v>123.72</v>
          </cell>
          <cell r="H2">
            <v>98.75</v>
          </cell>
          <cell r="I2">
            <v>24.97</v>
          </cell>
          <cell r="J2" t="str">
            <v xml:space="preserve">  33dk 58sn</v>
          </cell>
        </row>
        <row r="3">
          <cell r="A3" t="str">
            <v>31ABZ331</v>
          </cell>
          <cell r="B3" t="str">
            <v>ŞERİF ÇOLAK</v>
          </cell>
          <cell r="C3" t="str">
            <v>07:36:42</v>
          </cell>
          <cell r="D3" t="str">
            <v>21:01:04</v>
          </cell>
          <cell r="E3">
            <v>46156</v>
          </cell>
          <cell r="F3">
            <v>84</v>
          </cell>
          <cell r="G3">
            <v>61.8</v>
          </cell>
          <cell r="H3">
            <v>89.55</v>
          </cell>
          <cell r="I3">
            <v>-27.75</v>
          </cell>
          <cell r="J3" t="str">
            <v xml:space="preserve">  14dk 46sn</v>
          </cell>
        </row>
        <row r="4">
          <cell r="A4" t="str">
            <v>31ARZ280</v>
          </cell>
          <cell r="B4" t="str">
            <v>ESER HAVARE</v>
          </cell>
          <cell r="C4" t="str">
            <v>08:10:57</v>
          </cell>
          <cell r="D4" t="str">
            <v>20:48:41</v>
          </cell>
          <cell r="E4">
            <v>46156</v>
          </cell>
          <cell r="F4">
            <v>85</v>
          </cell>
          <cell r="G4">
            <v>76.209999999999994</v>
          </cell>
          <cell r="H4">
            <v>0</v>
          </cell>
          <cell r="I4">
            <v>76.209999999999994</v>
          </cell>
          <cell r="J4" t="str">
            <v xml:space="preserve"> 1sa 19dk 42sn</v>
          </cell>
        </row>
        <row r="5">
          <cell r="A5" t="str">
            <v>31ARU631</v>
          </cell>
          <cell r="B5" t="str">
            <v>MUSTAFA DELİLOĞLU</v>
          </cell>
          <cell r="C5" t="str">
            <v>07:30:57</v>
          </cell>
          <cell r="D5" t="str">
            <v>20:35:11</v>
          </cell>
          <cell r="E5">
            <v>46156</v>
          </cell>
          <cell r="F5">
            <v>109</v>
          </cell>
          <cell r="G5">
            <v>136.82</v>
          </cell>
          <cell r="H5">
            <v>136.69999999999999</v>
          </cell>
          <cell r="I5">
            <v>0.12000000000000451</v>
          </cell>
          <cell r="J5" t="str">
            <v xml:space="preserve">  39dk 43sn</v>
          </cell>
        </row>
        <row r="6">
          <cell r="A6" t="str">
            <v>31AGS633</v>
          </cell>
          <cell r="B6" t="str">
            <v>KEMAL İNAÇ</v>
          </cell>
          <cell r="C6" t="str">
            <v>07:40:51</v>
          </cell>
          <cell r="D6" t="str">
            <v>19:39:34</v>
          </cell>
          <cell r="E6">
            <v>46156</v>
          </cell>
          <cell r="F6">
            <v>91</v>
          </cell>
          <cell r="G6">
            <v>81.61</v>
          </cell>
          <cell r="H6">
            <v>14.4</v>
          </cell>
          <cell r="I6">
            <v>67.209999999999994</v>
          </cell>
          <cell r="J6" t="str">
            <v xml:space="preserve"> 1sa  10sn</v>
          </cell>
        </row>
        <row r="7">
          <cell r="A7" t="str">
            <v>31ARS220</v>
          </cell>
          <cell r="B7" t="str">
            <v>AVNİ DOĞRU</v>
          </cell>
          <cell r="C7" t="str">
            <v>06:54:11</v>
          </cell>
          <cell r="D7" t="str">
            <v>19:36:02</v>
          </cell>
          <cell r="E7">
            <v>46156</v>
          </cell>
          <cell r="F7">
            <v>84</v>
          </cell>
          <cell r="G7">
            <v>112.36</v>
          </cell>
          <cell r="H7">
            <v>112.02</v>
          </cell>
          <cell r="I7">
            <v>0.34000000000000341</v>
          </cell>
          <cell r="J7" t="str">
            <v xml:space="preserve">  44dk 33sn</v>
          </cell>
        </row>
        <row r="8">
          <cell r="A8" t="str">
            <v>31 AKC 629</v>
          </cell>
          <cell r="B8" t="str">
            <v>ORHAN HAYDAROĞLU</v>
          </cell>
          <cell r="C8" t="str">
            <v>11:04:58</v>
          </cell>
          <cell r="D8" t="str">
            <v>19:17:00</v>
          </cell>
          <cell r="E8">
            <v>46156</v>
          </cell>
          <cell r="F8">
            <v>89.23</v>
          </cell>
          <cell r="G8">
            <v>101.92</v>
          </cell>
          <cell r="H8">
            <v>16.98</v>
          </cell>
          <cell r="I8">
            <v>84.94</v>
          </cell>
          <cell r="J8" t="str">
            <v xml:space="preserve">  48dk 32sn</v>
          </cell>
        </row>
        <row r="9">
          <cell r="A9" t="str">
            <v>06FPH263</v>
          </cell>
          <cell r="B9" t="str">
            <v>ZEYDAN KARASU</v>
          </cell>
          <cell r="C9" t="str">
            <v>07:06:23</v>
          </cell>
          <cell r="D9" t="str">
            <v>19:10:05</v>
          </cell>
          <cell r="E9">
            <v>46156</v>
          </cell>
          <cell r="F9">
            <v>110</v>
          </cell>
          <cell r="G9">
            <v>68.56</v>
          </cell>
          <cell r="H9">
            <v>123.59</v>
          </cell>
          <cell r="I9">
            <v>-55.03</v>
          </cell>
          <cell r="J9" t="str">
            <v xml:space="preserve">  26dk 36sn</v>
          </cell>
        </row>
        <row r="10">
          <cell r="A10" t="str">
            <v>31ARZ957</v>
          </cell>
          <cell r="B10" t="str">
            <v>SONER SAĞIROĞLU</v>
          </cell>
          <cell r="C10" t="str">
            <v>09:22:35</v>
          </cell>
          <cell r="D10" t="str">
            <v>19:02:15</v>
          </cell>
          <cell r="E10">
            <v>46156</v>
          </cell>
          <cell r="F10">
            <v>98</v>
          </cell>
          <cell r="G10">
            <v>166.25</v>
          </cell>
          <cell r="H10">
            <v>105.59</v>
          </cell>
          <cell r="I10">
            <v>60.66</v>
          </cell>
          <cell r="J10" t="str">
            <v xml:space="preserve">  41dk 37sn</v>
          </cell>
        </row>
        <row r="11">
          <cell r="A11" t="str">
            <v>31ARU605</v>
          </cell>
          <cell r="B11" t="str">
            <v>SERAY AKSOY</v>
          </cell>
          <cell r="C11" t="str">
            <v>07:28:03</v>
          </cell>
          <cell r="D11" t="str">
            <v>18:56:57</v>
          </cell>
          <cell r="E11">
            <v>46156</v>
          </cell>
          <cell r="F11">
            <v>94</v>
          </cell>
          <cell r="G11">
            <v>85.29</v>
          </cell>
          <cell r="H11">
            <v>73.44</v>
          </cell>
          <cell r="I11">
            <v>11.85000000000001</v>
          </cell>
          <cell r="J11" t="str">
            <v xml:space="preserve">  57dk 36sn</v>
          </cell>
        </row>
        <row r="12">
          <cell r="A12" t="str">
            <v>31ARU612</v>
          </cell>
          <cell r="B12" t="str">
            <v>GÖRKEM DOKSÖZ</v>
          </cell>
          <cell r="C12" t="str">
            <v>07:56:57</v>
          </cell>
          <cell r="D12" t="str">
            <v>18:51:37</v>
          </cell>
          <cell r="E12">
            <v>46156</v>
          </cell>
          <cell r="F12">
            <v>92</v>
          </cell>
          <cell r="G12">
            <v>104.5</v>
          </cell>
          <cell r="H12">
            <v>133.38</v>
          </cell>
          <cell r="I12">
            <v>-28.88</v>
          </cell>
          <cell r="J12" t="str">
            <v xml:space="preserve">  34dk 25sn</v>
          </cell>
        </row>
        <row r="13">
          <cell r="A13" t="str">
            <v>31ARN388</v>
          </cell>
          <cell r="B13" t="str">
            <v>SERKAN BOYAR</v>
          </cell>
          <cell r="C13" t="str">
            <v>07:05:44</v>
          </cell>
          <cell r="D13" t="str">
            <v>18:50:23</v>
          </cell>
          <cell r="E13">
            <v>46156</v>
          </cell>
          <cell r="F13">
            <v>108</v>
          </cell>
          <cell r="G13">
            <v>161.79</v>
          </cell>
          <cell r="H13">
            <v>144.69999999999999</v>
          </cell>
          <cell r="I13">
            <v>17.09</v>
          </cell>
          <cell r="J13" t="str">
            <v xml:space="preserve">  53dk 7sn</v>
          </cell>
        </row>
        <row r="14">
          <cell r="A14" t="str">
            <v>31ARU639</v>
          </cell>
          <cell r="B14" t="str">
            <v>ONURCAN DİKBAŞ</v>
          </cell>
          <cell r="C14" t="str">
            <v>07:07:10</v>
          </cell>
          <cell r="D14" t="str">
            <v>18:39:21</v>
          </cell>
          <cell r="E14">
            <v>46156</v>
          </cell>
          <cell r="F14">
            <v>96</v>
          </cell>
          <cell r="G14">
            <v>129.12</v>
          </cell>
          <cell r="H14">
            <v>73.87</v>
          </cell>
          <cell r="I14">
            <v>55.25</v>
          </cell>
          <cell r="J14" t="str">
            <v xml:space="preserve">  48dk 52sn</v>
          </cell>
        </row>
        <row r="15">
          <cell r="A15" t="str">
            <v>31ARU604</v>
          </cell>
          <cell r="B15" t="str">
            <v>METİN ANASIZ</v>
          </cell>
          <cell r="C15" t="str">
            <v>07:41:33</v>
          </cell>
          <cell r="D15" t="str">
            <v>18:36:53</v>
          </cell>
          <cell r="E15">
            <v>46156</v>
          </cell>
          <cell r="F15">
            <v>100</v>
          </cell>
          <cell r="G15">
            <v>74.73</v>
          </cell>
          <cell r="H15">
            <v>63.67</v>
          </cell>
          <cell r="I15">
            <v>11.06</v>
          </cell>
          <cell r="J15" t="str">
            <v xml:space="preserve">  32dk 20sn</v>
          </cell>
        </row>
        <row r="16">
          <cell r="A16" t="str">
            <v>31ARZ264</v>
          </cell>
          <cell r="B16" t="str">
            <v>YUSUF KÖR</v>
          </cell>
          <cell r="C16" t="str">
            <v>07:38:29</v>
          </cell>
          <cell r="D16" t="str">
            <v>18:24:17</v>
          </cell>
          <cell r="E16">
            <v>46156</v>
          </cell>
          <cell r="F16">
            <v>87</v>
          </cell>
          <cell r="G16">
            <v>107.17</v>
          </cell>
          <cell r="H16">
            <v>109.63</v>
          </cell>
          <cell r="I16">
            <v>-2.4599999999999942</v>
          </cell>
          <cell r="J16" t="str">
            <v xml:space="preserve"> 1sa 19dk 20sn</v>
          </cell>
        </row>
        <row r="17">
          <cell r="A17" t="str">
            <v>31 ANR 992</v>
          </cell>
          <cell r="B17" t="str">
            <v>SERCAN KURTDERE</v>
          </cell>
          <cell r="C17" t="str">
            <v>06:44:42</v>
          </cell>
          <cell r="D17" t="str">
            <v>18:22:49</v>
          </cell>
          <cell r="E17">
            <v>46156</v>
          </cell>
          <cell r="F17">
            <v>91.45</v>
          </cell>
          <cell r="G17">
            <v>91.71</v>
          </cell>
          <cell r="H17">
            <v>32.96</v>
          </cell>
          <cell r="I17">
            <v>58.749999999999993</v>
          </cell>
          <cell r="J17" t="str">
            <v xml:space="preserve">  56dk 39sn</v>
          </cell>
        </row>
        <row r="18">
          <cell r="A18" t="str">
            <v>31ARU616</v>
          </cell>
          <cell r="B18" t="str">
            <v>ASLI OFLAZ</v>
          </cell>
          <cell r="C18" t="str">
            <v>07:38:46</v>
          </cell>
          <cell r="D18" t="str">
            <v>18:21:54</v>
          </cell>
          <cell r="E18">
            <v>46156</v>
          </cell>
          <cell r="F18">
            <v>98</v>
          </cell>
          <cell r="G18">
            <v>87.81</v>
          </cell>
          <cell r="H18">
            <v>101.22</v>
          </cell>
          <cell r="I18">
            <v>-13.41</v>
          </cell>
          <cell r="J18" t="str">
            <v xml:space="preserve">  43dk 22sn</v>
          </cell>
        </row>
        <row r="19">
          <cell r="A19" t="str">
            <v>31ASE581</v>
          </cell>
          <cell r="B19" t="str">
            <v>Açık ASE581</v>
          </cell>
          <cell r="C19" t="str">
            <v>17:30:12</v>
          </cell>
          <cell r="D19" t="str">
            <v>18:15:54</v>
          </cell>
          <cell r="E19">
            <v>46156</v>
          </cell>
          <cell r="F19">
            <v>33</v>
          </cell>
          <cell r="G19">
            <v>1.87</v>
          </cell>
          <cell r="H19">
            <v>48.6</v>
          </cell>
          <cell r="I19">
            <v>-46.73</v>
          </cell>
          <cell r="J19" t="str">
            <v xml:space="preserve">  2dk 55sn</v>
          </cell>
        </row>
        <row r="20">
          <cell r="A20" t="str">
            <v>31 AKJ 657</v>
          </cell>
          <cell r="B20" t="str">
            <v>FAHREDDİN BAŞDEMİR</v>
          </cell>
          <cell r="C20" t="str">
            <v>10:03:39</v>
          </cell>
          <cell r="D20" t="str">
            <v>18:14:10</v>
          </cell>
          <cell r="E20">
            <v>46156</v>
          </cell>
          <cell r="F20">
            <v>108.43</v>
          </cell>
          <cell r="G20">
            <v>109.16</v>
          </cell>
          <cell r="H20">
            <v>109.22</v>
          </cell>
          <cell r="I20">
            <v>-6.0000000000002267E-2</v>
          </cell>
          <cell r="J20" t="str">
            <v xml:space="preserve"> 1sa 25dk </v>
          </cell>
        </row>
        <row r="21">
          <cell r="A21" t="str">
            <v>31ASA056</v>
          </cell>
          <cell r="B21" t="str">
            <v>MEHMET ALİ KORKMAZ</v>
          </cell>
          <cell r="C21" t="str">
            <v>08:11:34</v>
          </cell>
          <cell r="D21" t="str">
            <v>18:11:33</v>
          </cell>
          <cell r="E21">
            <v>46156</v>
          </cell>
          <cell r="F21">
            <v>83</v>
          </cell>
          <cell r="G21">
            <v>92.68</v>
          </cell>
          <cell r="H21">
            <v>0</v>
          </cell>
          <cell r="I21">
            <v>92.68</v>
          </cell>
          <cell r="J21" t="str">
            <v xml:space="preserve"> 1sa 3dk 8sn</v>
          </cell>
        </row>
        <row r="22">
          <cell r="A22" t="str">
            <v>31ARZ654</v>
          </cell>
          <cell r="B22" t="str">
            <v>HAKAN MARAŞLI</v>
          </cell>
          <cell r="C22" t="str">
            <v>08:12:11</v>
          </cell>
          <cell r="D22" t="str">
            <v>18:08:55</v>
          </cell>
          <cell r="E22">
            <v>46156</v>
          </cell>
          <cell r="F22">
            <v>110</v>
          </cell>
          <cell r="G22">
            <v>35.869999999999997</v>
          </cell>
          <cell r="H22">
            <v>42.63</v>
          </cell>
          <cell r="I22">
            <v>-6.7600000000000051</v>
          </cell>
          <cell r="J22" t="str">
            <v xml:space="preserve"> 1sa 16dk 20sn</v>
          </cell>
        </row>
        <row r="23">
          <cell r="A23" t="str">
            <v>31 ANR 991</v>
          </cell>
          <cell r="B23" t="str">
            <v>YUSUF LİF</v>
          </cell>
          <cell r="C23" t="str">
            <v>08:13:53</v>
          </cell>
          <cell r="D23" t="str">
            <v>18:01:47</v>
          </cell>
          <cell r="E23">
            <v>46156</v>
          </cell>
          <cell r="F23">
            <v>81.95</v>
          </cell>
          <cell r="G23">
            <v>57.77</v>
          </cell>
          <cell r="H23">
            <v>64.36</v>
          </cell>
          <cell r="I23">
            <v>-6.5899999999999963</v>
          </cell>
          <cell r="J23" t="str">
            <v xml:space="preserve"> 1sa 17dk 29sn</v>
          </cell>
        </row>
        <row r="24">
          <cell r="A24" t="str">
            <v>31ARZ922</v>
          </cell>
          <cell r="B24" t="str">
            <v>AHMET VURAL</v>
          </cell>
          <cell r="C24" t="str">
            <v>08:19:42</v>
          </cell>
          <cell r="D24" t="str">
            <v>18:01:02</v>
          </cell>
          <cell r="E24">
            <v>46156</v>
          </cell>
          <cell r="F24">
            <v>96</v>
          </cell>
          <cell r="G24">
            <v>77.989999999999995</v>
          </cell>
          <cell r="H24">
            <v>57.21</v>
          </cell>
          <cell r="I24">
            <v>20.77999999999999</v>
          </cell>
          <cell r="J24" t="str">
            <v xml:space="preserve">  44dk 29sn</v>
          </cell>
        </row>
        <row r="25">
          <cell r="A25" t="str">
            <v>31ARU624</v>
          </cell>
          <cell r="B25" t="str">
            <v>ABDULGANİ GÜLER</v>
          </cell>
          <cell r="C25" t="str">
            <v>07:05:31</v>
          </cell>
          <cell r="D25" t="str">
            <v>17:58:59</v>
          </cell>
          <cell r="E25">
            <v>46156</v>
          </cell>
          <cell r="F25">
            <v>98</v>
          </cell>
          <cell r="G25">
            <v>98.61</v>
          </cell>
          <cell r="H25">
            <v>81.56</v>
          </cell>
          <cell r="I25">
            <v>17.05</v>
          </cell>
          <cell r="J25" t="str">
            <v xml:space="preserve">  42dk 24sn</v>
          </cell>
        </row>
        <row r="26">
          <cell r="A26" t="str">
            <v>31ARZ663</v>
          </cell>
          <cell r="B26" t="str">
            <v>HAKAN GÜLERYÜZ</v>
          </cell>
          <cell r="C26" t="str">
            <v>08:38:21</v>
          </cell>
          <cell r="D26" t="str">
            <v>17:55:42</v>
          </cell>
          <cell r="E26">
            <v>46156</v>
          </cell>
          <cell r="F26">
            <v>94</v>
          </cell>
          <cell r="G26">
            <v>135.09</v>
          </cell>
          <cell r="H26">
            <v>126.65</v>
          </cell>
          <cell r="I26">
            <v>8.4399999999999977</v>
          </cell>
          <cell r="J26" t="str">
            <v xml:space="preserve">  51dk 32sn</v>
          </cell>
        </row>
        <row r="27">
          <cell r="A27" t="str">
            <v>31ARZ645</v>
          </cell>
          <cell r="B27" t="str">
            <v>RIDVAN BADANAY</v>
          </cell>
          <cell r="C27" t="str">
            <v>08:55:49</v>
          </cell>
          <cell r="D27" t="str">
            <v>17:54:01</v>
          </cell>
          <cell r="E27">
            <v>46156</v>
          </cell>
          <cell r="F27">
            <v>87</v>
          </cell>
          <cell r="G27">
            <v>198.58</v>
          </cell>
          <cell r="H27">
            <v>180.7</v>
          </cell>
          <cell r="I27">
            <v>17.88000000000002</v>
          </cell>
          <cell r="J27" t="str">
            <v xml:space="preserve">  30dk 29sn</v>
          </cell>
        </row>
        <row r="28">
          <cell r="A28" t="str">
            <v>31 ANR 986</v>
          </cell>
          <cell r="B28" t="str">
            <v>Hasan Yolcu</v>
          </cell>
          <cell r="C28" t="str">
            <v>07:33:04</v>
          </cell>
          <cell r="D28" t="str">
            <v>17:36:21</v>
          </cell>
          <cell r="E28">
            <v>46156</v>
          </cell>
          <cell r="F28">
            <v>93.67</v>
          </cell>
          <cell r="G28">
            <v>173.9</v>
          </cell>
          <cell r="H28">
            <v>123.75</v>
          </cell>
          <cell r="I28">
            <v>50.150000000000013</v>
          </cell>
          <cell r="J28" t="str">
            <v xml:space="preserve">  57dk 11sn</v>
          </cell>
        </row>
        <row r="29">
          <cell r="A29" t="str">
            <v>31 ANR 985</v>
          </cell>
          <cell r="B29" t="str">
            <v>AHMET MUM</v>
          </cell>
          <cell r="C29" t="str">
            <v>08:08:00</v>
          </cell>
          <cell r="D29" t="str">
            <v>17:30:09</v>
          </cell>
          <cell r="E29">
            <v>46156</v>
          </cell>
          <cell r="F29">
            <v>99.73</v>
          </cell>
          <cell r="G29">
            <v>168.52</v>
          </cell>
          <cell r="H29">
            <v>139.72999999999999</v>
          </cell>
          <cell r="I29">
            <v>28.79000000000002</v>
          </cell>
          <cell r="J29" t="str">
            <v xml:space="preserve">  34dk 3sn</v>
          </cell>
        </row>
        <row r="30">
          <cell r="A30" t="str">
            <v>31ARZ916</v>
          </cell>
          <cell r="B30" t="str">
            <v>SERVET KESER</v>
          </cell>
          <cell r="C30" t="str">
            <v>08:01:05</v>
          </cell>
          <cell r="D30" t="str">
            <v>17:08:11</v>
          </cell>
          <cell r="E30">
            <v>46156</v>
          </cell>
          <cell r="F30">
            <v>98</v>
          </cell>
          <cell r="G30">
            <v>129.9</v>
          </cell>
          <cell r="H30">
            <v>122.48</v>
          </cell>
          <cell r="I30">
            <v>7.4200000000000017</v>
          </cell>
          <cell r="J30" t="str">
            <v xml:space="preserve">  34dk 8sn</v>
          </cell>
        </row>
        <row r="31">
          <cell r="A31" t="str">
            <v>31ARZ573</v>
          </cell>
          <cell r="B31" t="str">
            <v>MEHMET ÖVER</v>
          </cell>
          <cell r="C31" t="str">
            <v>08:00:14</v>
          </cell>
          <cell r="D31" t="str">
            <v>16:52:38</v>
          </cell>
          <cell r="E31">
            <v>46156</v>
          </cell>
          <cell r="F31">
            <v>80</v>
          </cell>
          <cell r="G31">
            <v>62.75</v>
          </cell>
          <cell r="H31">
            <v>89.46</v>
          </cell>
          <cell r="I31">
            <v>-26.70999999999999</v>
          </cell>
          <cell r="J31" t="str">
            <v xml:space="preserve">  50dk 36sn</v>
          </cell>
        </row>
        <row r="32">
          <cell r="A32" t="str">
            <v>31ARS221</v>
          </cell>
          <cell r="B32" t="str">
            <v>OĞUZHAN DURMAZ</v>
          </cell>
          <cell r="C32" t="str">
            <v>06:42:44</v>
          </cell>
          <cell r="D32" t="str">
            <v>16:49:01</v>
          </cell>
          <cell r="E32">
            <v>46156</v>
          </cell>
          <cell r="F32">
            <v>100</v>
          </cell>
          <cell r="G32">
            <v>195.69</v>
          </cell>
          <cell r="H32">
            <v>157.72999999999999</v>
          </cell>
          <cell r="I32">
            <v>37.960000000000008</v>
          </cell>
          <cell r="J32" t="str">
            <v xml:space="preserve">  25dk 22sn</v>
          </cell>
        </row>
        <row r="33">
          <cell r="A33" t="str">
            <v>31 ANR 987</v>
          </cell>
          <cell r="B33" t="str">
            <v>FARUK SAĞIROĞLU</v>
          </cell>
          <cell r="C33" t="str">
            <v>08:01:49</v>
          </cell>
          <cell r="D33" t="str">
            <v>15:44:27</v>
          </cell>
          <cell r="E33">
            <v>46156</v>
          </cell>
          <cell r="F33">
            <v>102.68</v>
          </cell>
          <cell r="G33">
            <v>162.37</v>
          </cell>
          <cell r="H33">
            <v>112.99</v>
          </cell>
          <cell r="I33">
            <v>49.38000000000001</v>
          </cell>
          <cell r="J33" t="str">
            <v xml:space="preserve">  52dk 55sn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7" sqref="I7"/>
    </sheetView>
  </sheetViews>
  <sheetFormatPr defaultRowHeight="15" x14ac:dyDescent="0.25"/>
  <cols>
    <col min="2" max="2" width="10.42578125" bestFit="1" customWidth="1"/>
    <col min="3" max="3" width="21.5703125" bestFit="1" customWidth="1"/>
    <col min="9" max="9" width="19.7109375" bestFit="1" customWidth="1"/>
  </cols>
  <sheetData>
    <row r="1" spans="1:10" x14ac:dyDescent="0.25">
      <c r="A1" t="s">
        <v>17</v>
      </c>
      <c r="B1" t="s">
        <v>14</v>
      </c>
      <c r="C1" t="s">
        <v>15</v>
      </c>
      <c r="D1" t="s">
        <v>16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2" t="s">
        <v>23</v>
      </c>
    </row>
    <row r="2" spans="1:10" x14ac:dyDescent="0.25">
      <c r="A2">
        <v>1</v>
      </c>
      <c r="B2" s="1" t="s">
        <v>0</v>
      </c>
      <c r="C2" s="1" t="str">
        <f>IFERROR(VLOOKUP(B2,'[1]Kontak Açıldı Özeti'!$A:$J,2,FALSE),"")</f>
        <v>ORHAN HAYDAROĞLU</v>
      </c>
      <c r="D2">
        <v>10</v>
      </c>
      <c r="E2">
        <v>0</v>
      </c>
      <c r="F2">
        <v>0</v>
      </c>
      <c r="I2" t="s">
        <v>32</v>
      </c>
    </row>
    <row r="3" spans="1:10" x14ac:dyDescent="0.25">
      <c r="A3">
        <v>2</v>
      </c>
      <c r="B3" s="1" t="s">
        <v>1</v>
      </c>
      <c r="C3" s="1" t="str">
        <f>IFERROR(VLOOKUP(B3,'[1]Kontak Açıldı Özeti'!$A:$J,2,FALSE),"")</f>
        <v>FAHREDDİN BAŞDEMİR</v>
      </c>
      <c r="D3">
        <v>6</v>
      </c>
      <c r="E3">
        <v>0</v>
      </c>
      <c r="F3">
        <v>0</v>
      </c>
    </row>
    <row r="4" spans="1:10" x14ac:dyDescent="0.25">
      <c r="A4">
        <v>3</v>
      </c>
      <c r="B4" s="1" t="s">
        <v>2</v>
      </c>
      <c r="C4" s="1" t="str">
        <f>IFERROR(VLOOKUP(B4,'[1]Kontak Açıldı Özeti'!$A:$J,2,FALSE),"")</f>
        <v>AHMET VURAL</v>
      </c>
      <c r="D4">
        <v>8</v>
      </c>
      <c r="E4">
        <v>0</v>
      </c>
      <c r="F4">
        <v>0</v>
      </c>
      <c r="I4" t="s">
        <v>25</v>
      </c>
    </row>
    <row r="5" spans="1:10" x14ac:dyDescent="0.25">
      <c r="A5">
        <v>4</v>
      </c>
      <c r="B5" s="1" t="s">
        <v>3</v>
      </c>
      <c r="C5" s="1" t="str">
        <f>IFERROR(VLOOKUP(B5,'[1]Kontak Açıldı Özeti'!$A:$J,2,FALSE),"")</f>
        <v>MEHMET ALİ KORKMAZ</v>
      </c>
      <c r="D5">
        <v>8</v>
      </c>
      <c r="E5">
        <v>0</v>
      </c>
      <c r="F5">
        <v>0</v>
      </c>
      <c r="I5" t="s">
        <v>26</v>
      </c>
    </row>
    <row r="6" spans="1:10" x14ac:dyDescent="0.25">
      <c r="A6">
        <v>5</v>
      </c>
      <c r="B6" s="1" t="s">
        <v>4</v>
      </c>
      <c r="C6" s="1" t="str">
        <f>IFERROR(VLOOKUP(B6,'[1]Kontak Açıldı Özeti'!$A:$J,2,FALSE),"")</f>
        <v>MEHMET ÖVER</v>
      </c>
      <c r="D6">
        <v>8</v>
      </c>
      <c r="E6">
        <v>0</v>
      </c>
      <c r="F6">
        <v>0</v>
      </c>
      <c r="I6" t="s">
        <v>27</v>
      </c>
    </row>
    <row r="7" spans="1:10" x14ac:dyDescent="0.25">
      <c r="A7">
        <v>6</v>
      </c>
      <c r="B7" s="1" t="s">
        <v>5</v>
      </c>
      <c r="C7" s="1" t="str">
        <f>IFERROR(VLOOKUP(B7,'[1]Kontak Açıldı Özeti'!$A:$J,2,FALSE),"")</f>
        <v>YUSUF KÖR</v>
      </c>
      <c r="D7">
        <v>8</v>
      </c>
      <c r="E7">
        <v>0</v>
      </c>
      <c r="F7">
        <v>0</v>
      </c>
      <c r="I7" t="s">
        <v>28</v>
      </c>
    </row>
    <row r="8" spans="1:10" x14ac:dyDescent="0.25">
      <c r="A8">
        <v>7</v>
      </c>
      <c r="B8" s="1" t="s">
        <v>6</v>
      </c>
      <c r="C8" s="1" t="str">
        <f>IFERROR(VLOOKUP(B8,'[1]Kontak Açıldı Özeti'!$A:$J,2,FALSE),"")</f>
        <v>SONER SAĞIROĞLU</v>
      </c>
      <c r="D8">
        <v>8</v>
      </c>
      <c r="E8">
        <v>0</v>
      </c>
      <c r="F8">
        <v>0</v>
      </c>
      <c r="I8" t="s">
        <v>29</v>
      </c>
    </row>
    <row r="9" spans="1:10" x14ac:dyDescent="0.25">
      <c r="A9">
        <v>8</v>
      </c>
      <c r="B9" s="1" t="s">
        <v>7</v>
      </c>
      <c r="C9" s="1" t="str">
        <f>IFERROR(VLOOKUP(B9,'[1]Kontak Açıldı Özeti'!$A:$J,2,FALSE),"")</f>
        <v>ESER HAVARE</v>
      </c>
      <c r="D9">
        <v>8</v>
      </c>
      <c r="E9">
        <v>0</v>
      </c>
      <c r="F9">
        <v>0</v>
      </c>
      <c r="I9" t="s">
        <v>30</v>
      </c>
    </row>
    <row r="10" spans="1:10" x14ac:dyDescent="0.25">
      <c r="A10">
        <v>9</v>
      </c>
      <c r="B10" s="1" t="s">
        <v>8</v>
      </c>
      <c r="C10" s="1" t="str">
        <f>IFERROR(VLOOKUP(B10,'[1]Kontak Açıldı Özeti'!$A:$J,2,FALSE),"")</f>
        <v>HAKAN GÜLERYÜZ</v>
      </c>
      <c r="D10">
        <v>8</v>
      </c>
      <c r="E10">
        <v>0</v>
      </c>
      <c r="F10">
        <v>0</v>
      </c>
      <c r="I10" t="s">
        <v>31</v>
      </c>
    </row>
    <row r="11" spans="1:10" x14ac:dyDescent="0.25">
      <c r="A11">
        <v>10</v>
      </c>
      <c r="B11" s="1" t="s">
        <v>9</v>
      </c>
      <c r="C11" s="1" t="str">
        <f>IFERROR(VLOOKUP(B11,'[1]Kontak Açıldı Özeti'!$A:$J,2,FALSE),"")</f>
        <v>SERVET KESER</v>
      </c>
      <c r="D11">
        <v>8</v>
      </c>
      <c r="E11">
        <v>0</v>
      </c>
      <c r="F11">
        <v>0</v>
      </c>
      <c r="I11" t="s">
        <v>24</v>
      </c>
    </row>
    <row r="12" spans="1:10" x14ac:dyDescent="0.25">
      <c r="A12">
        <v>11</v>
      </c>
      <c r="B12" s="1" t="s">
        <v>10</v>
      </c>
      <c r="C12" s="1" t="str">
        <f>IFERROR(VLOOKUP(B12,'[1]Kontak Açıldı Özeti'!$A:$J,2,FALSE),"")</f>
        <v>HAKAN MARAŞLI</v>
      </c>
      <c r="D12">
        <v>8</v>
      </c>
      <c r="E12">
        <v>0</v>
      </c>
      <c r="F12">
        <v>0</v>
      </c>
      <c r="I12" t="s">
        <v>33</v>
      </c>
    </row>
    <row r="13" spans="1:10" x14ac:dyDescent="0.25">
      <c r="A13">
        <v>12</v>
      </c>
      <c r="B13" s="1" t="s">
        <v>11</v>
      </c>
      <c r="C13" s="1" t="str">
        <f>IFERROR(VLOOKUP(B13,'[1]Kontak Açıldı Özeti'!$A:$J,2,FALSE),"")</f>
        <v>RIDVAN BADANAY</v>
      </c>
      <c r="D13">
        <v>8</v>
      </c>
      <c r="E13">
        <v>0</v>
      </c>
      <c r="F13">
        <v>0</v>
      </c>
      <c r="I13" t="s">
        <v>34</v>
      </c>
    </row>
    <row r="14" spans="1:10" x14ac:dyDescent="0.25">
      <c r="A14">
        <v>13</v>
      </c>
      <c r="B14" s="1" t="s">
        <v>12</v>
      </c>
      <c r="C14" s="1" t="str">
        <f>IFERROR(VLOOKUP(B14,'[1]Kontak Açıldı Özeti'!$A:$J,2,FALSE),"")</f>
        <v/>
      </c>
      <c r="D14">
        <v>6</v>
      </c>
      <c r="E14">
        <v>0</v>
      </c>
      <c r="F14">
        <v>0</v>
      </c>
    </row>
    <row r="15" spans="1:10" x14ac:dyDescent="0.25">
      <c r="A15">
        <v>14</v>
      </c>
      <c r="B15" s="1" t="s">
        <v>13</v>
      </c>
      <c r="C15" s="1" t="str">
        <f>IFERROR(VLOOKUP(B15,'[1]Kontak Açıldı Özeti'!$A:$J,2,FALSE),"")</f>
        <v>Açık ASE581</v>
      </c>
      <c r="D15">
        <v>6</v>
      </c>
      <c r="E15">
        <v>0</v>
      </c>
      <c r="F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Şahin</dc:creator>
  <cp:lastModifiedBy>Şahin Şahin</cp:lastModifiedBy>
  <dcterms:created xsi:type="dcterms:W3CDTF">2015-06-05T18:17:20Z</dcterms:created>
  <dcterms:modified xsi:type="dcterms:W3CDTF">2026-10-01T14:36:55Z</dcterms:modified>
</cp:coreProperties>
</file>